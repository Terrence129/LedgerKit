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置" sheetId="1" r:id="rId1"/>
    <sheet name="机构" sheetId="2" r:id="rId2"/>
    <sheet name="资金子账户" sheetId="3" r:id="rId3"/>
    <sheet name="分类" sheetId="4" r:id="rId4"/>
    <sheet name="汇率" sheetId="5" r:id="rId5"/>
    <sheet name="收支流水" sheetId="6" r:id="rId6"/>
    <sheet name="资金调拨" sheetId="7" r:id="rId7"/>
    <sheet name="换汇流水" sheetId="8" r:id="rId8"/>
  </sheets>
  <calcPr calcId="124519" fullCalcOnLoad="1"/>
</workbook>
</file>

<file path=xl/sharedStrings.xml><?xml version="1.0" encoding="utf-8"?>
<sst xmlns="http://schemas.openxmlformats.org/spreadsheetml/2006/main" count="143" uniqueCount="88">
  <si>
    <t>template_version</t>
  </si>
  <si>
    <t>base_currency</t>
  </si>
  <si>
    <t>ui_locale</t>
  </si>
  <si>
    <t>ledgerkit-workbook-v1.3</t>
  </si>
  <si>
    <t>CNY</t>
  </si>
  <si>
    <t>zh-CN</t>
  </si>
  <si>
    <t>legacy_id</t>
  </si>
  <si>
    <t>name</t>
  </si>
  <si>
    <t>region</t>
  </si>
  <si>
    <t>institution_type</t>
  </si>
  <si>
    <t>enabled</t>
  </si>
  <si>
    <t>inst-bank</t>
  </si>
  <si>
    <t>Synthetic Bank</t>
  </si>
  <si>
    <t>SG</t>
  </si>
  <si>
    <t>bank</t>
  </si>
  <si>
    <t>true</t>
  </si>
  <si>
    <t>institution_legacy_id</t>
  </si>
  <si>
    <t>purpose</t>
  </si>
  <si>
    <t>currency</t>
  </si>
  <si>
    <t>opened_on</t>
  </si>
  <si>
    <t>opening_balance</t>
  </si>
  <si>
    <t>cutover_date</t>
  </si>
  <si>
    <t>migration_policy</t>
  </si>
  <si>
    <t>acct-cny-main</t>
  </si>
  <si>
    <t>Main CNY</t>
  </si>
  <si>
    <t>daily</t>
  </si>
  <si>
    <t>2025-01-01</t>
  </si>
  <si>
    <t>1000</t>
  </si>
  <si>
    <t>2026-01-01</t>
  </si>
  <si>
    <t>explicit_cutover</t>
  </si>
  <si>
    <t>acct-cny-save</t>
  </si>
  <si>
    <t>Savings CNY</t>
  </si>
  <si>
    <t>reserve</t>
  </si>
  <si>
    <t>500</t>
  </si>
  <si>
    <t>acct-usd</t>
  </si>
  <si>
    <t>USD Wallet</t>
  </si>
  <si>
    <t>travel</t>
  </si>
  <si>
    <t>USD</t>
  </si>
  <si>
    <t>100</t>
  </si>
  <si>
    <t>kind</t>
  </si>
  <si>
    <t>semantic_role</t>
  </si>
  <si>
    <t>sort_order</t>
  </si>
  <si>
    <t>cat-income</t>
  </si>
  <si>
    <t>Salary</t>
  </si>
  <si>
    <t>income</t>
  </si>
  <si>
    <t>normal</t>
  </si>
  <si>
    <t>1</t>
  </si>
  <si>
    <t>cat-expense</t>
  </si>
  <si>
    <t>Food</t>
  </si>
  <si>
    <t>expense</t>
  </si>
  <si>
    <t>2</t>
  </si>
  <si>
    <t>rate_date</t>
  </si>
  <si>
    <t>rate_to_base</t>
  </si>
  <si>
    <t>source</t>
  </si>
  <si>
    <t>active</t>
  </si>
  <si>
    <t>7</t>
  </si>
  <si>
    <t>synthetic</t>
  </si>
  <si>
    <t>date</t>
  </si>
  <si>
    <t>sequence</t>
  </si>
  <si>
    <t>type</t>
  </si>
  <si>
    <t>account_legacy_id</t>
  </si>
  <si>
    <t>category_legacy_id</t>
  </si>
  <si>
    <t>amount</t>
  </si>
  <si>
    <t>merchant</t>
  </si>
  <si>
    <t>note</t>
  </si>
  <si>
    <t>fee_account_legacy_id</t>
  </si>
  <si>
    <t>fee_amount</t>
  </si>
  <si>
    <t>derived_base_value</t>
  </si>
  <si>
    <t>status</t>
  </si>
  <si>
    <t>display_label</t>
  </si>
  <si>
    <t>2026-02-01</t>
  </si>
  <si>
    <t>Income</t>
  </si>
  <si>
    <t>Synthetic Employer</t>
  </si>
  <si>
    <t>Synthetic income</t>
  </si>
  <si>
    <t>2026-02-02</t>
  </si>
  <si>
    <t>Expense</t>
  </si>
  <si>
    <t>10</t>
  </si>
  <si>
    <t>Synthetic Shop</t>
  </si>
  <si>
    <t>Synthetic expense</t>
  </si>
  <si>
    <t>from_account_legacy_id</t>
  </si>
  <si>
    <t>to_account_legacy_id</t>
  </si>
  <si>
    <t>2026-02-03</t>
  </si>
  <si>
    <t>Synthetic transfer</t>
  </si>
  <si>
    <t>from_amount</t>
  </si>
  <si>
    <t>to_amount</t>
  </si>
  <si>
    <t>2026-02-04</t>
  </si>
  <si>
    <t>70</t>
  </si>
  <si>
    <t>Synthetic exchange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</si>
</sst>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11</v>
      </c>
      <c r="B2" t="s">
        <v>12</v>
      </c>
      <c r="C2" t="s">
        <v>13</v>
      </c>
      <c r="D2" t="s">
        <v>14</v>
      </c>
      <c r="E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6</v>
      </c>
      <c r="B1" t="s">
        <v>16</v>
      </c>
      <c r="C1" t="s">
        <v>7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>
      <c r="A2" t="s">
        <v>23</v>
      </c>
      <c r="B2" t="s">
        <v>11</v>
      </c>
      <c r="C2" t="s">
        <v>24</v>
      </c>
      <c r="D2" t="s">
        <v>25</v>
      </c>
      <c r="E2" t="s">
        <v>4</v>
      </c>
      <c r="F2" t="s">
        <v>26</v>
      </c>
      <c r="G2" t="s">
        <v>27</v>
      </c>
      <c r="H2" t="s">
        <v>28</v>
      </c>
      <c r="I2" t="s">
        <v>29</v>
      </c>
    </row>
    <row r="3" spans="1:9">
      <c r="A3" t="s">
        <v>30</v>
      </c>
      <c r="B3" t="s">
        <v>11</v>
      </c>
      <c r="C3" t="s">
        <v>31</v>
      </c>
      <c r="D3" t="s">
        <v>32</v>
      </c>
      <c r="E3" t="s">
        <v>4</v>
      </c>
      <c r="F3" t="s">
        <v>26</v>
      </c>
      <c r="G3" t="s">
        <v>33</v>
      </c>
      <c r="H3" t="s">
        <v>28</v>
      </c>
      <c r="I3" t="s">
        <v>29</v>
      </c>
    </row>
    <row r="4" spans="1:9">
      <c r="A4" t="s">
        <v>34</v>
      </c>
      <c r="B4" t="s">
        <v>11</v>
      </c>
      <c r="C4" t="s">
        <v>35</v>
      </c>
      <c r="D4" t="s">
        <v>36</v>
      </c>
      <c r="E4" t="s">
        <v>37</v>
      </c>
      <c r="F4" t="s">
        <v>26</v>
      </c>
      <c r="G4" t="s">
        <v>38</v>
      </c>
      <c r="H4" t="s">
        <v>28</v>
      </c>
      <c r="I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39</v>
      </c>
      <c r="D1" t="s">
        <v>40</v>
      </c>
      <c r="E1" t="s">
        <v>41</v>
      </c>
      <c r="F1" t="s">
        <v>10</v>
      </c>
    </row>
    <row r="2" spans="1: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15</v>
      </c>
    </row>
    <row r="3" spans="1:6">
      <c r="A3" t="s">
        <v>47</v>
      </c>
      <c r="B3" t="s">
        <v>48</v>
      </c>
      <c r="C3" t="s">
        <v>49</v>
      </c>
      <c r="D3" t="s">
        <v>45</v>
      </c>
      <c r="E3" t="s">
        <v>50</v>
      </c>
      <c r="F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51</v>
      </c>
      <c r="B1" t="s">
        <v>18</v>
      </c>
      <c r="C1" t="s">
        <v>52</v>
      </c>
      <c r="D1" t="s">
        <v>53</v>
      </c>
      <c r="E1" t="s">
        <v>54</v>
      </c>
    </row>
    <row r="2" spans="1:5">
      <c r="A2" t="s">
        <v>28</v>
      </c>
      <c r="B2" t="s">
        <v>37</v>
      </c>
      <c r="C2" t="s">
        <v>55</v>
      </c>
      <c r="D2" t="s">
        <v>56</v>
      </c>
      <c r="E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40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</row>
    <row r="2" spans="1:14">
      <c r="A2" t="s">
        <v>70</v>
      </c>
      <c r="B2" t="s">
        <v>46</v>
      </c>
      <c r="C2" t="s">
        <v>71</v>
      </c>
      <c r="D2" t="s">
        <v>23</v>
      </c>
      <c r="E2" t="s">
        <v>42</v>
      </c>
      <c r="F2">
        <f>20+5</f>
        <v>26</v>
      </c>
      <c r="G2" t="s">
        <v>72</v>
      </c>
      <c r="H2" t="s">
        <v>73</v>
      </c>
      <c r="I2" t="s">
        <v>45</v>
      </c>
      <c r="L2">
        <f>F2</f>
        <v>26</v>
      </c>
      <c r="M2" t="str">
        <f>IF(F2&gt;0,"ok","check")</f>
        <v>ok</v>
      </c>
      <c r="N2" t="str">
        <f>C2&amp;" item"</f>
        <v>Income item</v>
      </c>
    </row>
    <row r="3" spans="1:14">
      <c r="A3" t="s">
        <v>74</v>
      </c>
      <c r="B3" t="s">
        <v>46</v>
      </c>
      <c r="C3" t="s">
        <v>75</v>
      </c>
      <c r="D3" t="s">
        <v>23</v>
      </c>
      <c r="E3" t="s">
        <v>47</v>
      </c>
      <c r="F3" t="s">
        <v>76</v>
      </c>
      <c r="G3" t="s">
        <v>77</v>
      </c>
      <c r="H3" t="s">
        <v>78</v>
      </c>
      <c r="I3" t="s">
        <v>45</v>
      </c>
      <c r="J3" t="s">
        <v>23</v>
      </c>
      <c r="K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57</v>
      </c>
      <c r="B1" t="s">
        <v>58</v>
      </c>
      <c r="C1" t="s">
        <v>79</v>
      </c>
      <c r="D1" t="s">
        <v>80</v>
      </c>
      <c r="E1" t="s">
        <v>62</v>
      </c>
      <c r="F1" t="s">
        <v>64</v>
      </c>
    </row>
    <row r="2" spans="1:6">
      <c r="A2" t="s">
        <v>81</v>
      </c>
      <c r="B2" t="s">
        <v>46</v>
      </c>
      <c r="C2" t="s">
        <v>23</v>
      </c>
      <c r="D2" t="s">
        <v>30</v>
      </c>
      <c r="E2" t="s">
        <v>38</v>
      </c>
      <c r="F2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57</v>
      </c>
      <c r="B1" t="s">
        <v>58</v>
      </c>
      <c r="C1" t="s">
        <v>79</v>
      </c>
      <c r="D1" t="s">
        <v>80</v>
      </c>
      <c r="E1" t="s">
        <v>83</v>
      </c>
      <c r="F1" t="s">
        <v>84</v>
      </c>
      <c r="G1" t="s">
        <v>65</v>
      </c>
      <c r="H1" t="s">
        <v>66</v>
      </c>
      <c r="I1" t="s">
        <v>64</v>
      </c>
    </row>
    <row r="2" spans="1:9">
      <c r="A2" t="s">
        <v>85</v>
      </c>
      <c r="B2" t="s">
        <v>46</v>
      </c>
      <c r="C2" t="s">
        <v>34</v>
      </c>
      <c r="D2" t="s">
        <v>23</v>
      </c>
      <c r="E2" t="s">
        <v>76</v>
      </c>
      <c r="F2" t="s">
        <v>86</v>
      </c>
      <c r="G2" t="s">
        <v>34</v>
      </c>
      <c r="H2" t="s">
        <v>46</v>
      </c>
      <c r="I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设置</vt:lpstr>
      <vt:lpstr>机构</vt:lpstr>
      <vt:lpstr>资金子账户</vt:lpstr>
      <vt:lpstr>分类</vt:lpstr>
      <vt:lpstr>汇率</vt:lpstr>
      <vt:lpstr>收支流水</vt:lpstr>
      <vt:lpstr>资金调拨</vt:lpstr>
      <vt:lpstr>换汇流水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LedgerKit deterministic synthetic migration fixture</dc:title>
  <dc:creator/>
  <cp:lastModifiedBy/>
  <dcterms:created xsi:type="dcterms:W3CDTF">2026-01-01T00:00:00Z</dcterms:created>
  <dcterms:modified xsi:type="dcterms:W3CDTF">2026-01-01T00:00:00Z</dcterms:modified>
</cp:coreProperties>
</file>